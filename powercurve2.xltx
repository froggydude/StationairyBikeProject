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refreshAllConnections="1" defaultThemeVersion="153222"/>
  <mc:AlternateContent xmlns:mc="http://schemas.openxmlformats.org/markup-compatibility/2006">
    <mc:Choice Requires="x15">
      <x15ac:absPath xmlns:x15ac="http://schemas.microsoft.com/office/spreadsheetml/2010/11/ac" url="C:\Users\gusboh\Documents\Custom Office Templates\"/>
    </mc:Choice>
  </mc:AlternateContent>
  <bookViews>
    <workbookView xWindow="0" yWindow="0" windowWidth="20460" windowHeight="7620" activeTab="1"/>
  </bookViews>
  <sheets>
    <sheet name="Sheet1" sheetId="1" r:id="rId1"/>
    <sheet name="Sheet3" sheetId="3" r:id="rId2"/>
    <sheet name="Sheet2" sheetId="4" r:id="rId3"/>
    <sheet name="Sheet4" sheetId="5" r:id="rId4"/>
  </sheets>
  <definedNames>
    <definedName name="ExternalData_1" localSheetId="3" hidden="1">Sheet4!$A$1:$D$7</definedName>
    <definedName name="New_Text_Document" localSheetId="0">Sheet1!#REF!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" i="3" l="1"/>
  <c r="F2" i="3"/>
  <c r="C9" i="4" l="1"/>
  <c r="O19" i="4"/>
  <c r="O20" i="4"/>
  <c r="O17" i="4" l="1"/>
  <c r="O16" i="4"/>
  <c r="O15" i="4"/>
  <c r="O18" i="4" l="1"/>
  <c r="D2" i="3" l="1"/>
  <c r="D4" i="3" l="1"/>
  <c r="D5" i="3"/>
  <c r="D9" i="3"/>
  <c r="D13" i="3"/>
  <c r="D11" i="3"/>
  <c r="D8" i="3"/>
  <c r="D12" i="3"/>
  <c r="D6" i="3"/>
  <c r="D10" i="3"/>
  <c r="D7" i="3"/>
  <c r="H2" i="1"/>
  <c r="G3" i="1"/>
  <c r="H3" i="1" s="1"/>
  <c r="G4" i="1" l="1"/>
  <c r="G5" i="1" l="1"/>
  <c r="H4" i="1"/>
  <c r="G6" i="1" l="1"/>
  <c r="H5" i="1"/>
  <c r="G7" i="1" l="1"/>
  <c r="H6" i="1"/>
  <c r="G8" i="1" l="1"/>
  <c r="H7" i="1"/>
  <c r="G9" i="1" l="1"/>
  <c r="H8" i="1"/>
  <c r="G10" i="1" l="1"/>
  <c r="H9" i="1"/>
  <c r="G11" i="1" l="1"/>
  <c r="H10" i="1"/>
  <c r="G12" i="1" l="1"/>
  <c r="H11" i="1"/>
  <c r="G13" i="1" l="1"/>
  <c r="H12" i="1"/>
  <c r="G14" i="1" l="1"/>
  <c r="H13" i="1"/>
  <c r="G15" i="1" l="1"/>
  <c r="H14" i="1"/>
  <c r="G16" i="1" l="1"/>
  <c r="H15" i="1"/>
  <c r="G17" i="1" l="1"/>
  <c r="H16" i="1"/>
  <c r="G18" i="1" l="1"/>
  <c r="H17" i="1"/>
  <c r="G19" i="1" l="1"/>
  <c r="H18" i="1"/>
  <c r="G20" i="1" l="1"/>
  <c r="H19" i="1"/>
  <c r="G21" i="1" l="1"/>
  <c r="H20" i="1"/>
  <c r="H21" i="1" l="1"/>
  <c r="G22" i="1"/>
  <c r="G23" i="1" l="1"/>
  <c r="H22" i="1"/>
  <c r="G24" i="1" l="1"/>
  <c r="H23" i="1"/>
  <c r="G25" i="1" l="1"/>
  <c r="H24" i="1"/>
  <c r="G26" i="1" l="1"/>
  <c r="H25" i="1"/>
  <c r="G27" i="1" l="1"/>
  <c r="H26" i="1"/>
  <c r="G28" i="1" l="1"/>
  <c r="H27" i="1"/>
  <c r="G29" i="1" l="1"/>
  <c r="H28" i="1"/>
  <c r="G30" i="1" l="1"/>
  <c r="H29" i="1"/>
  <c r="G31" i="1" l="1"/>
  <c r="H30" i="1"/>
  <c r="G32" i="1" l="1"/>
  <c r="H31" i="1"/>
  <c r="G33" i="1" l="1"/>
  <c r="H32" i="1"/>
  <c r="G34" i="1" l="1"/>
  <c r="H33" i="1"/>
  <c r="G35" i="1" l="1"/>
  <c r="H34" i="1"/>
  <c r="G36" i="1" l="1"/>
  <c r="H35" i="1"/>
  <c r="G37" i="1" l="1"/>
  <c r="H36" i="1"/>
  <c r="G38" i="1" l="1"/>
  <c r="H37" i="1"/>
  <c r="G39" i="1" l="1"/>
  <c r="H38" i="1"/>
  <c r="G40" i="1" l="1"/>
  <c r="H39" i="1"/>
  <c r="G41" i="1" l="1"/>
  <c r="H40" i="1"/>
  <c r="H41" i="1" l="1"/>
  <c r="G42" i="1"/>
  <c r="H42" i="1" s="1"/>
</calcChain>
</file>

<file path=xl/connections.xml><?xml version="1.0" encoding="utf-8"?>
<connections xmlns="http://schemas.openxmlformats.org/spreadsheetml/2006/main">
  <connection id="1" keepAlive="1" name="Query - time" description="Connection to the 'time' query in the workbook." type="5" refreshedVersion="6" background="1" saveData="1">
    <dbPr connection="Provider=Microsoft.Mashup.OleDb.1;Data Source=$Workbook$;Location=time;Extended Properties=&quot;&quot;" command="SELECT * FROM [time]"/>
  </connection>
</connections>
</file>

<file path=xl/sharedStrings.xml><?xml version="1.0" encoding="utf-8"?>
<sst xmlns="http://schemas.openxmlformats.org/spreadsheetml/2006/main" count="56" uniqueCount="38">
  <si>
    <t>mph</t>
  </si>
  <si>
    <t>watts</t>
  </si>
  <si>
    <t>MHR Intensity</t>
  </si>
  <si>
    <t>age</t>
  </si>
  <si>
    <t>BDAY</t>
  </si>
  <si>
    <t>hi</t>
  </si>
  <si>
    <t>lo</t>
  </si>
  <si>
    <t>%MHR</t>
  </si>
  <si>
    <t>MHR(100%)</t>
  </si>
  <si>
    <t>zone:</t>
  </si>
  <si>
    <t>2:Endurance</t>
  </si>
  <si>
    <t>3:Tempo</t>
  </si>
  <si>
    <t>4:Lactate Threshold</t>
  </si>
  <si>
    <t>5:Super Threshold</t>
  </si>
  <si>
    <t>Max</t>
  </si>
  <si>
    <t>MHR Calculations</t>
  </si>
  <si>
    <t>Training Log</t>
  </si>
  <si>
    <t>Date</t>
  </si>
  <si>
    <t>Distance</t>
  </si>
  <si>
    <t>Time</t>
  </si>
  <si>
    <t>Speed</t>
  </si>
  <si>
    <t>Ele Gain</t>
  </si>
  <si>
    <t>Description</t>
  </si>
  <si>
    <t>Percieved effort</t>
  </si>
  <si>
    <t xml:space="preserve">Indoor trainer </t>
  </si>
  <si>
    <t>Indoor</t>
  </si>
  <si>
    <t>Cadence</t>
  </si>
  <si>
    <t>HR:AVG</t>
  </si>
  <si>
    <t>HR:MAX</t>
  </si>
  <si>
    <t>Power(w)</t>
  </si>
  <si>
    <t>total:</t>
  </si>
  <si>
    <t>total time</t>
  </si>
  <si>
    <t>avgHR</t>
  </si>
  <si>
    <t>avgMAXH</t>
  </si>
  <si>
    <t>avgPWR</t>
  </si>
  <si>
    <t>Duration</t>
  </si>
  <si>
    <t>HR/PWR</t>
  </si>
  <si>
    <t>HR/speed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</si>
</sst>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963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14" fontId="0" fillId="0" borderId="0" xfId="0" applyNumberFormat="1"/>
    <xf numFmtId="0" fontId="0" fillId="0" borderId="0" xfId="0" applyNumberFormat="1"/>
    <xf numFmtId="0" fontId="0" fillId="2" borderId="0" xfId="0" applyFill="1"/>
    <xf numFmtId="0" fontId="0" fillId="3" borderId="0" xfId="0" applyFill="1" applyBorder="1"/>
    <xf numFmtId="0" fontId="0" fillId="4" borderId="0" xfId="0" applyFill="1" applyBorder="1"/>
    <xf numFmtId="0" fontId="0" fillId="4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1" fillId="0" borderId="0" xfId="0" applyFont="1"/>
    <xf numFmtId="0" fontId="0" fillId="9" borderId="0" xfId="0" applyFill="1"/>
    <xf numFmtId="0" fontId="0" fillId="5" borderId="0" xfId="0" applyFont="1" applyFill="1"/>
    <xf numFmtId="46" fontId="0" fillId="0" borderId="0" xfId="0" applyNumberFormat="1"/>
    <xf numFmtId="21" fontId="0" fillId="0" borderId="0" xfId="0" applyNumberFormat="1"/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7963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speed mph vs</a:t>
            </a:r>
            <a:r>
              <a:rPr lang="en-US" baseline="0"/>
              <a:t> powerwa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intercept val="0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Sheet1!$A$3:$A$10</c:f>
              <c:numCache>
                <c:formatCode>General</c:formatCode>
                <c:ptCount val="8"/>
                <c:pt idx="0">
                  <c:v>0</c:v>
                </c:pt>
                <c:pt idx="1">
                  <c:v>13.5</c:v>
                </c:pt>
                <c:pt idx="2">
                  <c:v>19.8</c:v>
                </c:pt>
                <c:pt idx="3">
                  <c:v>21.5</c:v>
                </c:pt>
                <c:pt idx="4">
                  <c:v>25.1</c:v>
                </c:pt>
                <c:pt idx="5">
                  <c:v>28.3</c:v>
                </c:pt>
                <c:pt idx="6">
                  <c:v>30.4</c:v>
                </c:pt>
                <c:pt idx="7">
                  <c:v>34.799999999999997</c:v>
                </c:pt>
              </c:numCache>
            </c:numRef>
          </c:xVal>
          <c:yVal>
            <c:numRef>
              <c:f>Sheet1!$B$3:$B$10</c:f>
              <c:numCache>
                <c:formatCode>General</c:formatCode>
                <c:ptCount val="8"/>
                <c:pt idx="0">
                  <c:v>0</c:v>
                </c:pt>
                <c:pt idx="1">
                  <c:v>53</c:v>
                </c:pt>
                <c:pt idx="2">
                  <c:v>111</c:v>
                </c:pt>
                <c:pt idx="3">
                  <c:v>123</c:v>
                </c:pt>
                <c:pt idx="4">
                  <c:v>165</c:v>
                </c:pt>
                <c:pt idx="5">
                  <c:v>205</c:v>
                </c:pt>
                <c:pt idx="6">
                  <c:v>233</c:v>
                </c:pt>
                <c:pt idx="7">
                  <c:v>302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E7-4A4F-AA18-ECF84FA630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254424"/>
        <c:axId val="186215080"/>
      </c:scatterChart>
      <c:valAx>
        <c:axId val="186254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215080"/>
        <c:crosses val="autoZero"/>
        <c:crossBetween val="midCat"/>
      </c:valAx>
      <c:valAx>
        <c:axId val="186215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254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Calculated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intercept val="0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Sheet1!$G$2:$G$42</c:f>
              <c:numCache>
                <c:formatCode>General</c:formatCode>
                <c:ptCount val="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</c:numCache>
            </c:numRef>
          </c:xVal>
          <c:yVal>
            <c:numRef>
              <c:f>Sheet1!$H$2:$H$42</c:f>
              <c:numCache>
                <c:formatCode>General</c:formatCode>
                <c:ptCount val="41"/>
                <c:pt idx="0">
                  <c:v>-0.2001</c:v>
                </c:pt>
                <c:pt idx="1">
                  <c:v>0.43474999999999991</c:v>
                </c:pt>
                <c:pt idx="2">
                  <c:v>1.1774</c:v>
                </c:pt>
                <c:pt idx="3">
                  <c:v>2.0278499999999999</c:v>
                </c:pt>
                <c:pt idx="4">
                  <c:v>2.9861</c:v>
                </c:pt>
                <c:pt idx="5">
                  <c:v>4.0521500000000001</c:v>
                </c:pt>
                <c:pt idx="6">
                  <c:v>5.226</c:v>
                </c:pt>
                <c:pt idx="7">
                  <c:v>6.5076500000000008</c:v>
                </c:pt>
                <c:pt idx="8">
                  <c:v>7.8971000000000009</c:v>
                </c:pt>
                <c:pt idx="9">
                  <c:v>9.3943499999999975</c:v>
                </c:pt>
                <c:pt idx="10">
                  <c:v>10.9994</c:v>
                </c:pt>
                <c:pt idx="11">
                  <c:v>12.712249999999999</c:v>
                </c:pt>
                <c:pt idx="12">
                  <c:v>14.5329</c:v>
                </c:pt>
                <c:pt idx="13">
                  <c:v>16.461349999999999</c:v>
                </c:pt>
                <c:pt idx="14">
                  <c:v>18.497600000000002</c:v>
                </c:pt>
                <c:pt idx="15">
                  <c:v>20.641650000000002</c:v>
                </c:pt>
                <c:pt idx="16">
                  <c:v>22.893500000000003</c:v>
                </c:pt>
                <c:pt idx="17">
                  <c:v>25.253150000000002</c:v>
                </c:pt>
                <c:pt idx="18">
                  <c:v>27.720599999999997</c:v>
                </c:pt>
                <c:pt idx="19">
                  <c:v>30.295850000000002</c:v>
                </c:pt>
                <c:pt idx="20">
                  <c:v>32.978900000000003</c:v>
                </c:pt>
                <c:pt idx="21">
                  <c:v>35.769750000000002</c:v>
                </c:pt>
                <c:pt idx="22">
                  <c:v>38.668399999999998</c:v>
                </c:pt>
                <c:pt idx="23">
                  <c:v>41.674849999999999</c:v>
                </c:pt>
                <c:pt idx="24">
                  <c:v>44.789099999999998</c:v>
                </c:pt>
                <c:pt idx="25">
                  <c:v>48.011150000000001</c:v>
                </c:pt>
                <c:pt idx="26">
                  <c:v>51.341000000000001</c:v>
                </c:pt>
                <c:pt idx="27">
                  <c:v>54.778650000000006</c:v>
                </c:pt>
                <c:pt idx="28">
                  <c:v>58.324100000000008</c:v>
                </c:pt>
                <c:pt idx="29">
                  <c:v>61.977350000000001</c:v>
                </c:pt>
                <c:pt idx="30">
                  <c:v>65.738399999999999</c:v>
                </c:pt>
                <c:pt idx="31">
                  <c:v>69.607249999999993</c:v>
                </c:pt>
                <c:pt idx="32">
                  <c:v>73.5839</c:v>
                </c:pt>
                <c:pt idx="33">
                  <c:v>77.668350000000004</c:v>
                </c:pt>
                <c:pt idx="34">
                  <c:v>81.860599999999991</c:v>
                </c:pt>
                <c:pt idx="35">
                  <c:v>86.16064999999999</c:v>
                </c:pt>
                <c:pt idx="36">
                  <c:v>90.568499999999986</c:v>
                </c:pt>
                <c:pt idx="37">
                  <c:v>95.084149999999994</c:v>
                </c:pt>
                <c:pt idx="38">
                  <c:v>99.707599999999999</c:v>
                </c:pt>
                <c:pt idx="39">
                  <c:v>104.43885</c:v>
                </c:pt>
                <c:pt idx="40">
                  <c:v>109.2779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A2-4D1A-B998-2B134964B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156336"/>
        <c:axId val="186156720"/>
      </c:scatterChart>
      <c:valAx>
        <c:axId val="186156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156720"/>
        <c:crosses val="autoZero"/>
        <c:crossBetween val="midCat"/>
      </c:valAx>
      <c:valAx>
        <c:axId val="186156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156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114300</xdr:colOff>
      <xdr:row>1</xdr:row>
      <xdr:rowOff>90487</xdr:rowOff>
    </xdr:from>
    <xdr:to>
      <xdr:col>6</xdr:col>
      <xdr:colOff>1</xdr:colOff>
      <xdr:row>15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242887</xdr:colOff>
      <xdr:row>1</xdr:row>
      <xdr:rowOff>80962</xdr:rowOff>
    </xdr:from>
    <xdr:to>
      <xdr:col>15</xdr:col>
      <xdr:colOff>547687</xdr:colOff>
      <xdr:row>15</xdr:row>
      <xdr:rowOff>157162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date" tableColumnId="17"/>
      <queryTableField id="2" name="speed" tableColumnId="18"/>
      <queryTableField id="3" name="time" tableColumnId="19"/>
      <queryTableField id="4" name="cadence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ime" displayName="time" ref="A1:D7" tableType="queryTable" totalsRowShown="0">
  <autoFilter ref="A1:D7"/>
  <tableColumns count="4">
    <tableColumn id="17" uniqueName="17" name="date" queryTableFieldId="1" dataDxfId="5"/>
    <tableColumn id="18" uniqueName="18" name="speed" queryTableFieldId="2" dataDxfId="4"/>
    <tableColumn id="19" uniqueName="19" name="time" queryTableFieldId="3" dataDxfId="3"/>
    <tableColumn id="20" uniqueName="20" name="cadence" queryTableFieldId="4" dataDxf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2"/>
  <sheetViews>
    <sheetView workbookViewId="0">
      <selection activeCell="H3" sqref="H3"/>
    </sheetView>
  </sheetViews>
  <sheetFormatPr defaultRowHeight="15" x14ac:dyDescent="0.25"/>
  <sheetData>
    <row r="1" spans="1:8" x14ac:dyDescent="0.25">
      <c r="A1" t="s">
        <v>24</v>
      </c>
    </row>
    <row r="2" spans="1:8" x14ac:dyDescent="0.25">
      <c r="A2" t="s">
        <v>0</v>
      </c>
      <c r="B2" t="s">
        <v>1</v>
      </c>
      <c r="G2">
        <v>0</v>
      </c>
      <c r="H2">
        <f>0.2156*G2^2 + 1.1619*G2 - 0.2001</f>
        <v>-0.2001</v>
      </c>
    </row>
    <row r="3" spans="1:8" x14ac:dyDescent="0.25">
      <c r="A3">
        <v>0</v>
      </c>
      <c r="B3">
        <v>0</v>
      </c>
      <c r="G3">
        <f>G2+0.5</f>
        <v>0.5</v>
      </c>
      <c r="H3">
        <f t="shared" ref="H3:H42" si="0">0.2156*G3^2 + 1.1619*G3 - 0.2001</f>
        <v>0.43474999999999991</v>
      </c>
    </row>
    <row r="4" spans="1:8" x14ac:dyDescent="0.25">
      <c r="A4">
        <v>13.5</v>
      </c>
      <c r="B4">
        <v>53</v>
      </c>
      <c r="G4">
        <f t="shared" ref="G4:G41" si="1">G3+0.5</f>
        <v>1</v>
      </c>
      <c r="H4">
        <f t="shared" si="0"/>
        <v>1.1774</v>
      </c>
    </row>
    <row r="5" spans="1:8" x14ac:dyDescent="0.25">
      <c r="A5">
        <v>19.8</v>
      </c>
      <c r="B5">
        <v>111</v>
      </c>
      <c r="G5">
        <f t="shared" si="1"/>
        <v>1.5</v>
      </c>
      <c r="H5">
        <f t="shared" si="0"/>
        <v>2.0278499999999999</v>
      </c>
    </row>
    <row r="6" spans="1:8" x14ac:dyDescent="0.25">
      <c r="A6">
        <v>21.5</v>
      </c>
      <c r="B6">
        <v>123</v>
      </c>
      <c r="G6">
        <f t="shared" si="1"/>
        <v>2</v>
      </c>
      <c r="H6">
        <f t="shared" si="0"/>
        <v>2.9861</v>
      </c>
    </row>
    <row r="7" spans="1:8" x14ac:dyDescent="0.25">
      <c r="A7">
        <v>25.1</v>
      </c>
      <c r="B7">
        <v>165</v>
      </c>
      <c r="G7">
        <f t="shared" si="1"/>
        <v>2.5</v>
      </c>
      <c r="H7">
        <f t="shared" si="0"/>
        <v>4.0521500000000001</v>
      </c>
    </row>
    <row r="8" spans="1:8" x14ac:dyDescent="0.25">
      <c r="A8">
        <v>28.3</v>
      </c>
      <c r="B8">
        <v>205</v>
      </c>
      <c r="G8">
        <f t="shared" si="1"/>
        <v>3</v>
      </c>
      <c r="H8">
        <f t="shared" si="0"/>
        <v>5.226</v>
      </c>
    </row>
    <row r="9" spans="1:8" x14ac:dyDescent="0.25">
      <c r="A9">
        <v>30.4</v>
      </c>
      <c r="B9">
        <v>233</v>
      </c>
      <c r="G9">
        <f t="shared" si="1"/>
        <v>3.5</v>
      </c>
      <c r="H9">
        <f t="shared" si="0"/>
        <v>6.5076500000000008</v>
      </c>
    </row>
    <row r="10" spans="1:8" x14ac:dyDescent="0.25">
      <c r="A10">
        <v>34.799999999999997</v>
      </c>
      <c r="B10">
        <v>302</v>
      </c>
      <c r="G10">
        <f t="shared" si="1"/>
        <v>4</v>
      </c>
      <c r="H10">
        <f t="shared" si="0"/>
        <v>7.8971000000000009</v>
      </c>
    </row>
    <row r="11" spans="1:8" x14ac:dyDescent="0.25">
      <c r="A11" t="s">
        <v>0</v>
      </c>
      <c r="B11" t="s">
        <v>1</v>
      </c>
      <c r="G11">
        <f t="shared" si="1"/>
        <v>4.5</v>
      </c>
      <c r="H11">
        <f t="shared" si="0"/>
        <v>9.3943499999999975</v>
      </c>
    </row>
    <row r="12" spans="1:8" x14ac:dyDescent="0.25">
      <c r="G12">
        <f t="shared" si="1"/>
        <v>5</v>
      </c>
      <c r="H12">
        <f t="shared" si="0"/>
        <v>10.9994</v>
      </c>
    </row>
    <row r="13" spans="1:8" x14ac:dyDescent="0.25">
      <c r="G13">
        <f t="shared" si="1"/>
        <v>5.5</v>
      </c>
      <c r="H13">
        <f t="shared" si="0"/>
        <v>12.712249999999999</v>
      </c>
    </row>
    <row r="14" spans="1:8" x14ac:dyDescent="0.25">
      <c r="B14">
        <v>23</v>
      </c>
      <c r="G14">
        <f t="shared" si="1"/>
        <v>6</v>
      </c>
      <c r="H14">
        <f t="shared" si="0"/>
        <v>14.5329</v>
      </c>
    </row>
    <row r="15" spans="1:8" x14ac:dyDescent="0.25">
      <c r="G15">
        <f t="shared" si="1"/>
        <v>6.5</v>
      </c>
      <c r="H15">
        <f t="shared" si="0"/>
        <v>16.461349999999999</v>
      </c>
    </row>
    <row r="16" spans="1:8" x14ac:dyDescent="0.25">
      <c r="G16">
        <f t="shared" si="1"/>
        <v>7</v>
      </c>
      <c r="H16">
        <f t="shared" si="0"/>
        <v>18.497600000000002</v>
      </c>
    </row>
    <row r="17" spans="7:8" x14ac:dyDescent="0.25">
      <c r="G17">
        <f t="shared" si="1"/>
        <v>7.5</v>
      </c>
      <c r="H17">
        <f t="shared" si="0"/>
        <v>20.641650000000002</v>
      </c>
    </row>
    <row r="18" spans="7:8" x14ac:dyDescent="0.25">
      <c r="G18">
        <f t="shared" si="1"/>
        <v>8</v>
      </c>
      <c r="H18">
        <f t="shared" si="0"/>
        <v>22.893500000000003</v>
      </c>
    </row>
    <row r="19" spans="7:8" x14ac:dyDescent="0.25">
      <c r="G19">
        <f t="shared" si="1"/>
        <v>8.5</v>
      </c>
      <c r="H19">
        <f t="shared" si="0"/>
        <v>25.253150000000002</v>
      </c>
    </row>
    <row r="20" spans="7:8" x14ac:dyDescent="0.25">
      <c r="G20">
        <f t="shared" si="1"/>
        <v>9</v>
      </c>
      <c r="H20">
        <f t="shared" si="0"/>
        <v>27.720599999999997</v>
      </c>
    </row>
    <row r="21" spans="7:8" x14ac:dyDescent="0.25">
      <c r="G21">
        <f t="shared" si="1"/>
        <v>9.5</v>
      </c>
      <c r="H21">
        <f t="shared" si="0"/>
        <v>30.295850000000002</v>
      </c>
    </row>
    <row r="22" spans="7:8" x14ac:dyDescent="0.25">
      <c r="G22">
        <f>G21+0.5</f>
        <v>10</v>
      </c>
      <c r="H22">
        <f t="shared" si="0"/>
        <v>32.978900000000003</v>
      </c>
    </row>
    <row r="23" spans="7:8" x14ac:dyDescent="0.25">
      <c r="G23">
        <f t="shared" si="1"/>
        <v>10.5</v>
      </c>
      <c r="H23">
        <f t="shared" si="0"/>
        <v>35.769750000000002</v>
      </c>
    </row>
    <row r="24" spans="7:8" x14ac:dyDescent="0.25">
      <c r="G24">
        <f t="shared" si="1"/>
        <v>11</v>
      </c>
      <c r="H24">
        <f t="shared" si="0"/>
        <v>38.668399999999998</v>
      </c>
    </row>
    <row r="25" spans="7:8" x14ac:dyDescent="0.25">
      <c r="G25">
        <f t="shared" si="1"/>
        <v>11.5</v>
      </c>
      <c r="H25">
        <f t="shared" si="0"/>
        <v>41.674849999999999</v>
      </c>
    </row>
    <row r="26" spans="7:8" x14ac:dyDescent="0.25">
      <c r="G26">
        <f t="shared" si="1"/>
        <v>12</v>
      </c>
      <c r="H26">
        <f t="shared" si="0"/>
        <v>44.789099999999998</v>
      </c>
    </row>
    <row r="27" spans="7:8" x14ac:dyDescent="0.25">
      <c r="G27">
        <f t="shared" si="1"/>
        <v>12.5</v>
      </c>
      <c r="H27">
        <f t="shared" si="0"/>
        <v>48.011150000000001</v>
      </c>
    </row>
    <row r="28" spans="7:8" x14ac:dyDescent="0.25">
      <c r="G28">
        <f t="shared" si="1"/>
        <v>13</v>
      </c>
      <c r="H28">
        <f t="shared" si="0"/>
        <v>51.341000000000001</v>
      </c>
    </row>
    <row r="29" spans="7:8" x14ac:dyDescent="0.25">
      <c r="G29">
        <f t="shared" si="1"/>
        <v>13.5</v>
      </c>
      <c r="H29">
        <f t="shared" si="0"/>
        <v>54.778650000000006</v>
      </c>
    </row>
    <row r="30" spans="7:8" x14ac:dyDescent="0.25">
      <c r="G30">
        <f t="shared" si="1"/>
        <v>14</v>
      </c>
      <c r="H30">
        <f t="shared" si="0"/>
        <v>58.324100000000008</v>
      </c>
    </row>
    <row r="31" spans="7:8" x14ac:dyDescent="0.25">
      <c r="G31">
        <f t="shared" si="1"/>
        <v>14.5</v>
      </c>
      <c r="H31">
        <f t="shared" si="0"/>
        <v>61.977350000000001</v>
      </c>
    </row>
    <row r="32" spans="7:8" x14ac:dyDescent="0.25">
      <c r="G32">
        <f t="shared" si="1"/>
        <v>15</v>
      </c>
      <c r="H32">
        <f t="shared" si="0"/>
        <v>65.738399999999999</v>
      </c>
    </row>
    <row r="33" spans="7:8" x14ac:dyDescent="0.25">
      <c r="G33">
        <f t="shared" si="1"/>
        <v>15.5</v>
      </c>
      <c r="H33">
        <f t="shared" si="0"/>
        <v>69.607249999999993</v>
      </c>
    </row>
    <row r="34" spans="7:8" x14ac:dyDescent="0.25">
      <c r="G34">
        <f t="shared" si="1"/>
        <v>16</v>
      </c>
      <c r="H34">
        <f t="shared" si="0"/>
        <v>73.5839</v>
      </c>
    </row>
    <row r="35" spans="7:8" x14ac:dyDescent="0.25">
      <c r="G35">
        <f t="shared" si="1"/>
        <v>16.5</v>
      </c>
      <c r="H35">
        <f t="shared" si="0"/>
        <v>77.668350000000004</v>
      </c>
    </row>
    <row r="36" spans="7:8" x14ac:dyDescent="0.25">
      <c r="G36">
        <f t="shared" si="1"/>
        <v>17</v>
      </c>
      <c r="H36">
        <f t="shared" si="0"/>
        <v>81.860599999999991</v>
      </c>
    </row>
    <row r="37" spans="7:8" x14ac:dyDescent="0.25">
      <c r="G37">
        <f t="shared" si="1"/>
        <v>17.5</v>
      </c>
      <c r="H37">
        <f t="shared" si="0"/>
        <v>86.16064999999999</v>
      </c>
    </row>
    <row r="38" spans="7:8" x14ac:dyDescent="0.25">
      <c r="G38">
        <f t="shared" si="1"/>
        <v>18</v>
      </c>
      <c r="H38">
        <f t="shared" si="0"/>
        <v>90.568499999999986</v>
      </c>
    </row>
    <row r="39" spans="7:8" x14ac:dyDescent="0.25">
      <c r="G39">
        <f>G38+0.5</f>
        <v>18.5</v>
      </c>
      <c r="H39">
        <f t="shared" si="0"/>
        <v>95.084149999999994</v>
      </c>
    </row>
    <row r="40" spans="7:8" x14ac:dyDescent="0.25">
      <c r="G40">
        <f t="shared" si="1"/>
        <v>19</v>
      </c>
      <c r="H40">
        <f t="shared" si="0"/>
        <v>99.707599999999999</v>
      </c>
    </row>
    <row r="41" spans="7:8" x14ac:dyDescent="0.25">
      <c r="G41">
        <f t="shared" si="1"/>
        <v>19.5</v>
      </c>
      <c r="H41">
        <f t="shared" si="0"/>
        <v>104.43885</v>
      </c>
    </row>
    <row r="42" spans="7:8" x14ac:dyDescent="0.25">
      <c r="G42">
        <f>G41+0.5</f>
        <v>20</v>
      </c>
      <c r="H42">
        <f t="shared" si="0"/>
        <v>109.2779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6"/>
  <sheetViews>
    <sheetView tabSelected="1" workbookViewId="0">
      <selection activeCell="I3" sqref="I3"/>
    </sheetView>
  </sheetViews>
  <sheetFormatPr defaultRowHeight="15" x14ac:dyDescent="0.25"/>
  <cols>
    <col min="1" max="1" width="10.28515625" customWidth="1"/>
    <col min="3" max="3" width="10" customWidth="1"/>
    <col min="6" max="6" width="9.7109375" bestFit="1" customWidth="1"/>
    <col min="9" max="9" width="9.7109375" bestFit="1" customWidth="1"/>
  </cols>
  <sheetData>
    <row r="1" spans="1:9" ht="21" x14ac:dyDescent="0.35">
      <c r="A1" s="10" t="s">
        <v>15</v>
      </c>
    </row>
    <row r="2" spans="1:9" x14ac:dyDescent="0.25">
      <c r="A2" t="s">
        <v>2</v>
      </c>
      <c r="C2" t="s">
        <v>8</v>
      </c>
      <c r="D2">
        <f ca="1">220-F2</f>
        <v>111</v>
      </c>
      <c r="E2" t="s">
        <v>3</v>
      </c>
      <c r="F2">
        <f ca="1">INT(YEARFRAC(I2,TODAY()))</f>
        <v>109</v>
      </c>
      <c r="H2" t="s">
        <v>4</v>
      </c>
      <c r="I2" s="1">
        <f>DATE(2,2,1902)</f>
        <v>2664</v>
      </c>
    </row>
    <row r="3" spans="1:9" x14ac:dyDescent="0.25">
      <c r="A3" t="s">
        <v>9</v>
      </c>
      <c r="C3" t="s">
        <v>7</v>
      </c>
      <c r="I3" s="1"/>
    </row>
    <row r="4" spans="1:9" x14ac:dyDescent="0.25">
      <c r="A4" s="3">
        <v>1</v>
      </c>
      <c r="B4" t="s">
        <v>5</v>
      </c>
      <c r="C4" s="2">
        <v>60</v>
      </c>
      <c r="D4">
        <f ca="1">(C4/100)*$D$2</f>
        <v>66.599999999999994</v>
      </c>
    </row>
    <row r="5" spans="1:9" x14ac:dyDescent="0.25">
      <c r="A5" s="4">
        <v>2</v>
      </c>
      <c r="B5" t="s">
        <v>6</v>
      </c>
      <c r="C5" s="2">
        <v>60</v>
      </c>
      <c r="D5">
        <f t="shared" ref="D5:D13" ca="1" si="0">(C5/100)*$D$2</f>
        <v>66.599999999999994</v>
      </c>
    </row>
    <row r="6" spans="1:9" x14ac:dyDescent="0.25">
      <c r="A6" s="4" t="s">
        <v>10</v>
      </c>
      <c r="B6" t="s">
        <v>5</v>
      </c>
      <c r="C6" s="2">
        <v>72</v>
      </c>
      <c r="D6">
        <f t="shared" ca="1" si="0"/>
        <v>79.92</v>
      </c>
    </row>
    <row r="7" spans="1:9" x14ac:dyDescent="0.25">
      <c r="A7" s="5">
        <v>3</v>
      </c>
      <c r="B7" t="s">
        <v>6</v>
      </c>
      <c r="C7" s="2">
        <v>72</v>
      </c>
      <c r="D7">
        <f t="shared" ca="1" si="0"/>
        <v>79.92</v>
      </c>
    </row>
    <row r="8" spans="1:9" x14ac:dyDescent="0.25">
      <c r="A8" s="6" t="s">
        <v>11</v>
      </c>
      <c r="B8" t="s">
        <v>5</v>
      </c>
      <c r="C8" s="2">
        <v>79</v>
      </c>
      <c r="D8">
        <f t="shared" ca="1" si="0"/>
        <v>87.69</v>
      </c>
    </row>
    <row r="9" spans="1:9" x14ac:dyDescent="0.25">
      <c r="A9" s="7">
        <v>4</v>
      </c>
      <c r="B9" t="s">
        <v>6</v>
      </c>
      <c r="C9" s="2">
        <v>80</v>
      </c>
      <c r="D9">
        <f t="shared" ca="1" si="0"/>
        <v>88.800000000000011</v>
      </c>
    </row>
    <row r="10" spans="1:9" x14ac:dyDescent="0.25">
      <c r="A10" s="7" t="s">
        <v>12</v>
      </c>
      <c r="B10" t="s">
        <v>5</v>
      </c>
      <c r="C10" s="2">
        <v>90</v>
      </c>
      <c r="D10">
        <f t="shared" ca="1" si="0"/>
        <v>99.9</v>
      </c>
    </row>
    <row r="11" spans="1:9" x14ac:dyDescent="0.25">
      <c r="A11" s="8">
        <v>5</v>
      </c>
      <c r="B11" t="s">
        <v>6</v>
      </c>
      <c r="C11" s="2">
        <v>91</v>
      </c>
      <c r="D11">
        <f t="shared" ca="1" si="0"/>
        <v>101.01</v>
      </c>
    </row>
    <row r="12" spans="1:9" x14ac:dyDescent="0.25">
      <c r="A12" s="8" t="s">
        <v>13</v>
      </c>
      <c r="B12" t="s">
        <v>5</v>
      </c>
      <c r="C12" s="2">
        <v>97</v>
      </c>
      <c r="D12">
        <f t="shared" ca="1" si="0"/>
        <v>107.67</v>
      </c>
    </row>
    <row r="13" spans="1:9" x14ac:dyDescent="0.25">
      <c r="A13" s="9" t="s">
        <v>14</v>
      </c>
      <c r="B13" t="s">
        <v>6</v>
      </c>
      <c r="C13" s="2">
        <v>98</v>
      </c>
      <c r="D13">
        <f t="shared" ca="1" si="0"/>
        <v>108.78</v>
      </c>
    </row>
    <row r="14" spans="1:9" x14ac:dyDescent="0.25">
      <c r="C14" s="2"/>
    </row>
    <row r="15" spans="1:9" x14ac:dyDescent="0.25">
      <c r="C15" s="2"/>
    </row>
    <row r="16" spans="1:9" x14ac:dyDescent="0.25">
      <c r="C16" s="2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0"/>
  <sheetViews>
    <sheetView workbookViewId="0">
      <selection activeCell="C5" sqref="C5"/>
    </sheetView>
  </sheetViews>
  <sheetFormatPr defaultRowHeight="15" x14ac:dyDescent="0.25"/>
  <cols>
    <col min="1" max="1" width="11.5703125" bestFit="1" customWidth="1"/>
    <col min="2" max="2" width="8.5703125" bestFit="1" customWidth="1"/>
    <col min="3" max="4" width="8.140625" bestFit="1" customWidth="1"/>
    <col min="5" max="5" width="6.5703125" bestFit="1" customWidth="1"/>
    <col min="6" max="6" width="7.85546875" bestFit="1" customWidth="1"/>
    <col min="7" max="7" width="8.140625" bestFit="1" customWidth="1"/>
    <col min="8" max="8" width="11.140625" bestFit="1" customWidth="1"/>
    <col min="9" max="9" width="8" bestFit="1" customWidth="1"/>
  </cols>
  <sheetData>
    <row r="1" spans="1:16" x14ac:dyDescent="0.25">
      <c r="A1" t="s">
        <v>16</v>
      </c>
    </row>
    <row r="2" spans="1:16" x14ac:dyDescent="0.25">
      <c r="A2" t="s">
        <v>17</v>
      </c>
      <c r="B2" t="s">
        <v>18</v>
      </c>
      <c r="C2" t="s">
        <v>35</v>
      </c>
      <c r="D2" t="s">
        <v>21</v>
      </c>
      <c r="E2" t="s">
        <v>20</v>
      </c>
      <c r="F2" t="s">
        <v>27</v>
      </c>
      <c r="G2" t="s">
        <v>28</v>
      </c>
      <c r="H2" t="s">
        <v>22</v>
      </c>
      <c r="J2" t="s">
        <v>23</v>
      </c>
      <c r="L2" s="11"/>
      <c r="M2" s="3"/>
      <c r="N2" s="12"/>
    </row>
    <row r="3" spans="1:16" x14ac:dyDescent="0.25">
      <c r="A3" s="1"/>
      <c r="C3" s="14"/>
    </row>
    <row r="4" spans="1:16" x14ac:dyDescent="0.25">
      <c r="A4" s="1"/>
      <c r="C4" s="14"/>
    </row>
    <row r="5" spans="1:16" x14ac:dyDescent="0.25">
      <c r="A5" s="1"/>
      <c r="C5" s="14"/>
    </row>
    <row r="6" spans="1:16" x14ac:dyDescent="0.25">
      <c r="A6" s="1"/>
      <c r="C6" s="14"/>
    </row>
    <row r="7" spans="1:16" x14ac:dyDescent="0.25">
      <c r="A7" s="1"/>
      <c r="C7" s="14"/>
    </row>
    <row r="8" spans="1:16" x14ac:dyDescent="0.25">
      <c r="A8" s="1"/>
      <c r="C8" s="14"/>
    </row>
    <row r="9" spans="1:16" x14ac:dyDescent="0.25">
      <c r="C9" s="13">
        <f>SUM(C3:C8)</f>
        <v>0</v>
      </c>
    </row>
    <row r="12" spans="1:16" x14ac:dyDescent="0.25">
      <c r="L12" t="s">
        <v>30</v>
      </c>
    </row>
    <row r="13" spans="1:16" x14ac:dyDescent="0.25">
      <c r="A13" t="s">
        <v>25</v>
      </c>
    </row>
    <row r="14" spans="1:16" x14ac:dyDescent="0.25">
      <c r="A14" t="s">
        <v>17</v>
      </c>
      <c r="B14" t="s">
        <v>18</v>
      </c>
      <c r="C14" t="s">
        <v>19</v>
      </c>
      <c r="D14" t="s">
        <v>21</v>
      </c>
      <c r="E14" t="s">
        <v>20</v>
      </c>
      <c r="F14" t="s">
        <v>27</v>
      </c>
      <c r="G14" t="s">
        <v>28</v>
      </c>
      <c r="H14" t="s">
        <v>26</v>
      </c>
      <c r="I14" t="s">
        <v>29</v>
      </c>
      <c r="J14" t="s">
        <v>22</v>
      </c>
      <c r="L14" t="s">
        <v>23</v>
      </c>
      <c r="N14" s="11"/>
      <c r="O14" s="3"/>
      <c r="P14" s="12"/>
    </row>
    <row r="15" spans="1:16" x14ac:dyDescent="0.25">
      <c r="A15" s="1"/>
      <c r="N15" t="s">
        <v>31</v>
      </c>
      <c r="O15">
        <f>SUM(C15:C42)</f>
        <v>0</v>
      </c>
    </row>
    <row r="16" spans="1:16" x14ac:dyDescent="0.25">
      <c r="A16" s="1"/>
      <c r="N16" t="s">
        <v>32</v>
      </c>
      <c r="O16" t="e">
        <f>AVERAGE(F15:F29)</f>
        <v>#DIV/0!</v>
      </c>
    </row>
    <row r="17" spans="1:15" x14ac:dyDescent="0.25">
      <c r="A17" s="1"/>
      <c r="N17" t="s">
        <v>33</v>
      </c>
      <c r="O17" t="e">
        <f>AVERAGE(G15:G28)</f>
        <v>#DIV/0!</v>
      </c>
    </row>
    <row r="18" spans="1:15" x14ac:dyDescent="0.25">
      <c r="A18" s="1"/>
      <c r="N18" t="s">
        <v>34</v>
      </c>
      <c r="O18" t="e">
        <f>AVERAGE(I15:I23)</f>
        <v>#DIV/0!</v>
      </c>
    </row>
    <row r="19" spans="1:15" x14ac:dyDescent="0.25">
      <c r="N19" t="s">
        <v>36</v>
      </c>
      <c r="O19" t="e">
        <f>AVERAGE(F17:F18)/AVERAGE(I17:I18)</f>
        <v>#DIV/0!</v>
      </c>
    </row>
    <row r="20" spans="1:15" x14ac:dyDescent="0.25">
      <c r="N20" t="s">
        <v>37</v>
      </c>
      <c r="O20" t="e">
        <f>AVERAGE(F17:F18)/AVERAGE(E17:E18)</f>
        <v>#DIV/0!</v>
      </c>
    </row>
  </sheetData>
  <conditionalFormatting sqref="K16">
    <cfRule type="cellIs" dxfId="1" priority="11" operator="greaterThan">
      <formula>$I$18</formula>
    </cfRule>
    <cfRule type="colorScale" priority="12">
      <colorScale>
        <cfvo type="min"/>
        <cfvo type="max"/>
        <color rgb="FFFF7128"/>
        <color rgb="FFFFEF9C"/>
      </colorScale>
    </cfRule>
    <cfRule type="colorScale" priority="14">
      <colorScale>
        <cfvo type="min"/>
        <cfvo type="max"/>
        <color rgb="FFFF7128"/>
        <color rgb="FFFFEF9C"/>
      </colorScale>
    </cfRule>
  </conditionalFormatting>
  <conditionalFormatting sqref="F24:F28">
    <cfRule type="colorScale" priority="10">
      <colorScale>
        <cfvo type="min"/>
        <cfvo type="max"/>
        <color rgb="FFFF7128"/>
        <color rgb="FFFFEF9C"/>
      </colorScale>
    </cfRule>
  </conditionalFormatting>
  <conditionalFormatting sqref="F15:F23">
    <cfRule type="colorScale" priority="9">
      <colorScale>
        <cfvo type="num" val="115"/>
        <cfvo type="num" val="150"/>
        <cfvo type="num" val="185"/>
        <color theme="4"/>
        <color theme="9"/>
        <color rgb="FFC00000"/>
      </colorScale>
    </cfRule>
  </conditionalFormatting>
  <conditionalFormatting sqref="E15:E27">
    <cfRule type="colorScale" priority="8">
      <colorScale>
        <cfvo type="min"/>
        <cfvo type="max"/>
        <color rgb="FF00B050"/>
        <color rgb="FFFF0000"/>
      </colorScale>
    </cfRule>
  </conditionalFormatting>
  <conditionalFormatting sqref="G15:G26">
    <cfRule type="colorScale" priority="7">
      <colorScale>
        <cfvo type="min"/>
        <cfvo type="max"/>
        <color rgb="FF00B050"/>
        <color rgb="FFFF0000"/>
      </colorScale>
    </cfRule>
  </conditionalFormatting>
  <conditionalFormatting sqref="B3:B8">
    <cfRule type="iconSet" priority="3">
      <iconSet>
        <cfvo type="percent" val="0"/>
        <cfvo type="percent" val="33"/>
        <cfvo type="percent" val="67"/>
      </iconSet>
    </cfRule>
  </conditionalFormatting>
  <conditionalFormatting sqref="E3:E8">
    <cfRule type="iconSet" priority="1">
      <iconSet iconSet="3Flag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3" operator="between" id="{F7EF1A6D-6F91-4CA9-A619-C8B6A3DE8E84}">
            <xm:f>Sheet3!$D$5</xm:f>
            <xm:f>Sheet3!$D$6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K16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"/>
  <sheetViews>
    <sheetView workbookViewId="0">
      <selection activeCell="F4" sqref="F4"/>
    </sheetView>
  </sheetViews>
  <sheetFormatPr defaultRowHeight="15" x14ac:dyDescent="0.25"/>
  <cols>
    <col min="1" max="1" width="7.140625" bestFit="1" customWidth="1"/>
    <col min="2" max="2" width="8.5703125" bestFit="1" customWidth="1"/>
    <col min="3" max="3" width="7.28515625" bestFit="1" customWidth="1"/>
    <col min="4" max="4" width="10.42578125" bestFit="1" customWidth="1"/>
  </cols>
  <sheetData>
    <row r="1" spans="1:4" x14ac:dyDescent="0.25">
      <c r="A1" s="2"/>
      <c r="B1" s="2"/>
      <c r="C1" s="2"/>
      <c r="D1" s="2"/>
    </row>
    <row r="2" spans="1:4" x14ac:dyDescent="0.25">
      <c r="A2" s="2"/>
      <c r="B2" s="2"/>
      <c r="C2" s="2"/>
      <c r="D2" s="2"/>
    </row>
    <row r="3" spans="1:4" x14ac:dyDescent="0.25">
      <c r="A3" s="2"/>
      <c r="B3" s="2"/>
      <c r="C3" s="2"/>
      <c r="D3" s="2"/>
    </row>
    <row r="4" spans="1:4" x14ac:dyDescent="0.25">
      <c r="A4" s="2"/>
      <c r="B4" s="2"/>
      <c r="C4" s="2"/>
      <c r="D4" s="2"/>
    </row>
    <row r="5" spans="1:4" x14ac:dyDescent="0.25">
      <c r="A5" s="2"/>
      <c r="B5" s="2"/>
      <c r="C5" s="2"/>
      <c r="D5" s="2"/>
    </row>
    <row r="6" spans="1:4" x14ac:dyDescent="0.25">
      <c r="A6" s="2"/>
      <c r="B6" s="2"/>
      <c r="C6" s="2"/>
      <c r="D6" s="2"/>
    </row>
    <row r="7" spans="1:4" x14ac:dyDescent="0.25">
      <c r="A7" s="2"/>
      <c r="B7" s="2"/>
      <c r="C7" s="2"/>
      <c r="D7" s="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7DEDBE9-9CA0-4DC5-B0CF-6458EE30F09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Sheet3</vt:lpstr>
      <vt:lpstr>Sheet2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gusboh</dc:creator>
  <cp:lastModifiedBy>gusboh</cp:lastModifiedBy>
  <cp:lastPrinted>2016-08-24T21:55:01Z</cp:lastPrinted>
  <dcterms:created xsi:type="dcterms:W3CDTF">2016-04-01T22:41:21Z</dcterms:created>
  <dcterms:modified xsi:type="dcterms:W3CDTF">2016-09-24T19:38:52Z</dcterms:modified>
</cp:coreProperties>
</file>